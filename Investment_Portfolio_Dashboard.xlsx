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gromova/Documents/"/>
    </mc:Choice>
  </mc:AlternateContent>
  <xr:revisionPtr revIDLastSave="0" documentId="8_{97C9690F-F778-A141-B232-7072B07059C2}" xr6:coauthVersionLast="47" xr6:coauthVersionMax="47" xr10:uidLastSave="{00000000-0000-0000-0000-000000000000}"/>
  <bookViews>
    <workbookView xWindow="680" yWindow="680" windowWidth="28040" windowHeight="17140" xr2:uid="{E6D66F28-8C5A-EC43-904E-56A89C24BC6D}"/>
  </bookViews>
  <sheets>
    <sheet name="Dashboard" sheetId="1" r:id="rId1"/>
    <sheet name="Portfolio Data" sheetId="2" r:id="rId2"/>
    <sheet name="Anal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3" l="1"/>
  <c r="C43" i="3"/>
  <c r="C44" i="3"/>
  <c r="C45" i="3"/>
  <c r="C46" i="3"/>
  <c r="C47" i="3"/>
  <c r="C48" i="3"/>
  <c r="C49" i="3"/>
  <c r="C41" i="3"/>
  <c r="C40" i="3"/>
  <c r="C29" i="3"/>
  <c r="C28" i="3"/>
  <c r="C27" i="3"/>
  <c r="C26" i="3"/>
  <c r="C25" i="3"/>
  <c r="C24" i="3"/>
  <c r="C23" i="3"/>
  <c r="F7" i="1"/>
  <c r="C12" i="1"/>
  <c r="C5" i="1" l="1"/>
  <c r="C15" i="1"/>
  <c r="C11" i="1"/>
  <c r="C10" i="1"/>
  <c r="H15" i="2"/>
  <c r="I15" i="2"/>
  <c r="G15" i="2"/>
  <c r="G5" i="2"/>
  <c r="H5" i="2"/>
  <c r="I5" i="2"/>
  <c r="J5" i="2"/>
  <c r="G6" i="2"/>
  <c r="H6" i="2"/>
  <c r="I6" i="2"/>
  <c r="J6" i="2"/>
  <c r="G7" i="2"/>
  <c r="H7" i="2"/>
  <c r="I7" i="2" s="1"/>
  <c r="J7" i="2" s="1"/>
  <c r="G8" i="2"/>
  <c r="I8" i="2" s="1"/>
  <c r="J8" i="2" s="1"/>
  <c r="H8" i="2"/>
  <c r="G9" i="2"/>
  <c r="H9" i="2"/>
  <c r="I9" i="2"/>
  <c r="J9" i="2" s="1"/>
  <c r="G10" i="2"/>
  <c r="H10" i="2"/>
  <c r="I10" i="2"/>
  <c r="J10" i="2"/>
  <c r="G11" i="2"/>
  <c r="H11" i="2"/>
  <c r="I11" i="2"/>
  <c r="J11" i="2"/>
  <c r="G12" i="2"/>
  <c r="H12" i="2"/>
  <c r="I12" i="2" s="1"/>
  <c r="J12" i="2" s="1"/>
  <c r="G13" i="2"/>
  <c r="H13" i="2"/>
  <c r="I13" i="2"/>
  <c r="J13" i="2"/>
  <c r="J4" i="2"/>
  <c r="I4" i="2"/>
  <c r="H4" i="2"/>
  <c r="G4" i="2"/>
</calcChain>
</file>

<file path=xl/sharedStrings.xml><?xml version="1.0" encoding="utf-8"?>
<sst xmlns="http://schemas.openxmlformats.org/spreadsheetml/2006/main" count="97" uniqueCount="59">
  <si>
    <t>Investment Portfolio Dashboard</t>
  </si>
  <si>
    <t>Inputs</t>
  </si>
  <si>
    <t>Initial Investment (£)</t>
  </si>
  <si>
    <t>Cash Available (£)</t>
  </si>
  <si>
    <t>Portfolio Summary</t>
  </si>
  <si>
    <t>Total Portfolio Value (£)</t>
  </si>
  <si>
    <t>Total Profit/Loss (£)</t>
  </si>
  <si>
    <t>Total Return (%)</t>
  </si>
  <si>
    <t>Best Performing Stock</t>
  </si>
  <si>
    <t>Worst Performing Stock</t>
  </si>
  <si>
    <t>Number of Holdings</t>
  </si>
  <si>
    <t>Portfolio Overview</t>
  </si>
  <si>
    <t>Largest Holding</t>
  </si>
  <si>
    <t>Largest Sector</t>
  </si>
  <si>
    <t>Average Return (%)</t>
  </si>
  <si>
    <t>Number of Sectors</t>
  </si>
  <si>
    <t>Investment Portfolio Data</t>
  </si>
  <si>
    <t>Company</t>
  </si>
  <si>
    <t>Sector</t>
  </si>
  <si>
    <t>Shares Owned</t>
  </si>
  <si>
    <t>Purchase Price (£)</t>
  </si>
  <si>
    <t>Current Price (£)</t>
  </si>
  <si>
    <t>Total Cost (£)</t>
  </si>
  <si>
    <t>Current Value (£)</t>
  </si>
  <si>
    <t>Profit/Loss (£)</t>
  </si>
  <si>
    <t>Return (%)</t>
  </si>
  <si>
    <t>Apple</t>
  </si>
  <si>
    <t>Technology</t>
  </si>
  <si>
    <t>Microsoft</t>
  </si>
  <si>
    <t>NVIDIA</t>
  </si>
  <si>
    <t>JPMorgan Chase</t>
  </si>
  <si>
    <t>Visa</t>
  </si>
  <si>
    <t>Shell</t>
  </si>
  <si>
    <t>Coca-Cola</t>
  </si>
  <si>
    <t>Unilever</t>
  </si>
  <si>
    <t>AstraZeneca</t>
  </si>
  <si>
    <t>Amazon</t>
  </si>
  <si>
    <t>Financials</t>
  </si>
  <si>
    <t>Energy</t>
  </si>
  <si>
    <t>Consumer Staples</t>
  </si>
  <si>
    <t>Consumer Goods</t>
  </si>
  <si>
    <t>Healthcare</t>
  </si>
  <si>
    <t xml:space="preserve">Consumer Discretionary </t>
  </si>
  <si>
    <t>Totals</t>
  </si>
  <si>
    <t>Investment Portfolio Analysis</t>
  </si>
  <si>
    <t>Total Market Value (£)</t>
  </si>
  <si>
    <t>Consumer Discretionary</t>
  </si>
  <si>
    <t>Key Findings:</t>
  </si>
  <si>
    <t>Visa is the largest individual holding, with a current value of £3,990</t>
  </si>
  <si>
    <t>Technology is the largest sector, representing the biggest share of the portfolio</t>
  </si>
  <si>
    <t>The portfolio has generated a total return of 13.74%, equivalent to a profit of £2,402</t>
  </si>
  <si>
    <t>The portfolio is diversified across 7 different sectors, which reduces concentration risk</t>
  </si>
  <si>
    <t>Key Highlights:</t>
  </si>
  <si>
    <t>Largest Sector: Technology</t>
  </si>
  <si>
    <t>Portfolio Return: 13.74%</t>
  </si>
  <si>
    <t>Best Performer: NVIDIA</t>
  </si>
  <si>
    <t>1. Compnay Performance Analysis</t>
  </si>
  <si>
    <t>2. Portfolio Allocation by Sector</t>
  </si>
  <si>
    <t>3. Portfolio Value by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</si>
</sst>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 (Body)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3" borderId="5" xfId="0" applyFill="1" applyBorder="1"/>
    <xf numFmtId="0" fontId="0" fillId="3" borderId="7" xfId="0" applyFill="1" applyBorder="1"/>
    <xf numFmtId="0" fontId="2" fillId="0" borderId="0" xfId="0" applyFont="1" applyAlignment="1">
      <alignment horizontal="center"/>
    </xf>
    <xf numFmtId="10" fontId="0" fillId="3" borderId="5" xfId="0" applyNumberFormat="1" applyFill="1" applyBorder="1"/>
    <xf numFmtId="0" fontId="0" fillId="0" borderId="5" xfId="0" applyBorder="1"/>
    <xf numFmtId="10" fontId="0" fillId="0" borderId="5" xfId="0" applyNumberFormat="1" applyBorder="1"/>
    <xf numFmtId="0" fontId="0" fillId="0" borderId="7" xfId="0" applyBorder="1"/>
    <xf numFmtId="0" fontId="1" fillId="4" borderId="2" xfId="0" applyFont="1" applyFill="1" applyBorder="1"/>
    <xf numFmtId="0" fontId="0" fillId="4" borderId="4" xfId="0" applyFill="1" applyBorder="1"/>
    <xf numFmtId="0" fontId="0" fillId="4" borderId="6" xfId="0" applyFill="1" applyBorder="1"/>
    <xf numFmtId="0" fontId="5" fillId="0" borderId="0" xfId="0" applyFont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6" fillId="0" borderId="0" xfId="0" applyFont="1"/>
    <xf numFmtId="0" fontId="0" fillId="0" borderId="0" xfId="0" applyAlignment="1">
      <alignment horizontal="left"/>
    </xf>
    <xf numFmtId="0" fontId="1" fillId="4" borderId="8" xfId="0" applyFont="1" applyFill="1" applyBorder="1"/>
    <xf numFmtId="0" fontId="1" fillId="4" borderId="3" xfId="0" applyFont="1" applyFill="1" applyBorder="1"/>
    <xf numFmtId="165" fontId="0" fillId="0" borderId="1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165" fontId="0" fillId="0" borderId="13" xfId="0" applyNumberFormat="1" applyBorder="1"/>
    <xf numFmtId="0" fontId="0" fillId="0" borderId="14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Analysis!$C$22</c:f>
              <c:strCache>
                <c:ptCount val="1"/>
                <c:pt idx="0">
                  <c:v>Total Market Value (£)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7-D04A-AEE9-4ECF9F899F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7-D04A-AEE9-4ECF9F899F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7-D04A-AEE9-4ECF9F899F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7-D04A-AEE9-4ECF9F899F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7-D04A-AEE9-4ECF9F899F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7-D04A-AEE9-4ECF9F899F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37-D04A-AEE9-4ECF9F899F94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7-D04A-AEE9-4ECF9F899F94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37-D04A-AEE9-4ECF9F899F94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37-D04A-AEE9-4ECF9F899F94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37-D04A-AEE9-4ECF9F899F94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37-D04A-AEE9-4ECF9F899F94}"/>
                </c:ext>
              </c:extLst>
            </c:dLbl>
            <c:dLbl>
              <c:idx val="5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137-D04A-AEE9-4ECF9F899F94}"/>
                </c:ext>
              </c:extLst>
            </c:dLbl>
            <c:dLbl>
              <c:idx val="6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137-D04A-AEE9-4ECF9F899F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Analysis!$B$23:$B$29</c:f>
              <c:strCache>
                <c:ptCount val="7"/>
                <c:pt idx="0">
                  <c:v>Technology</c:v>
                </c:pt>
                <c:pt idx="1">
                  <c:v>Financials</c:v>
                </c:pt>
                <c:pt idx="2">
                  <c:v>Energy</c:v>
                </c:pt>
                <c:pt idx="3">
                  <c:v>Consumer Staples</c:v>
                </c:pt>
                <c:pt idx="4">
                  <c:v>Consumer Goods</c:v>
                </c:pt>
                <c:pt idx="5">
                  <c:v>Healthcare</c:v>
                </c:pt>
                <c:pt idx="6">
                  <c:v>Consumer Discretionary</c:v>
                </c:pt>
              </c:strCache>
            </c:strRef>
          </c:cat>
          <c:val>
            <c:numRef>
              <c:f>Analysis!$C$23:$C$29</c:f>
              <c:numCache>
                <c:formatCode>General</c:formatCode>
                <c:ptCount val="7"/>
                <c:pt idx="0">
                  <c:v>7050</c:v>
                </c:pt>
                <c:pt idx="1">
                  <c:v>6765</c:v>
                </c:pt>
                <c:pt idx="2">
                  <c:v>620</c:v>
                </c:pt>
                <c:pt idx="3">
                  <c:v>1224</c:v>
                </c:pt>
                <c:pt idx="4">
                  <c:v>1075</c:v>
                </c:pt>
                <c:pt idx="5">
                  <c:v>1888</c:v>
                </c:pt>
                <c:pt idx="6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37-D04A-AEE9-4ECF9F899F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306710505562966E-3"/>
          <c:y val="0.71158169058654896"/>
          <c:w val="0.99596932894944368"/>
          <c:h val="0.2600495150872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Profit/Loss by</a:t>
            </a:r>
            <a:r>
              <a:rPr lang="en-US" baseline="0"/>
              <a:t>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Analysis!$C$5</c:f>
              <c:strCache>
                <c:ptCount val="1"/>
                <c:pt idx="0">
                  <c:v>Profit/Loss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Analysis!$B$6:$B$15</c:f>
              <c:strCache>
                <c:ptCount val="10"/>
                <c:pt idx="0">
                  <c:v>Apple</c:v>
                </c:pt>
                <c:pt idx="1">
                  <c:v>Microsoft</c:v>
                </c:pt>
                <c:pt idx="2">
                  <c:v>NVIDIA</c:v>
                </c:pt>
                <c:pt idx="3">
                  <c:v>JPMorgan Chase</c:v>
                </c:pt>
                <c:pt idx="4">
                  <c:v>Visa</c:v>
                </c:pt>
                <c:pt idx="5">
                  <c:v>Shell</c:v>
                </c:pt>
                <c:pt idx="6">
                  <c:v>Coca-Cola</c:v>
                </c:pt>
                <c:pt idx="7">
                  <c:v>Unilever</c:v>
                </c:pt>
                <c:pt idx="8">
                  <c:v>AstraZeneca</c:v>
                </c:pt>
                <c:pt idx="9">
                  <c:v>Amazon</c:v>
                </c:pt>
              </c:strCache>
            </c:strRef>
          </c:cat>
          <c:val>
            <c:numRef>
              <c:f>Analysis!$C$6:$C$15</c:f>
              <c:numCache>
                <c:formatCode>General</c:formatCode>
                <c:ptCount val="10"/>
                <c:pt idx="0">
                  <c:v>250</c:v>
                </c:pt>
                <c:pt idx="1">
                  <c:v>320</c:v>
                </c:pt>
                <c:pt idx="2">
                  <c:v>420</c:v>
                </c:pt>
                <c:pt idx="3">
                  <c:v>225</c:v>
                </c:pt>
                <c:pt idx="4">
                  <c:v>490</c:v>
                </c:pt>
                <c:pt idx="5">
                  <c:v>60</c:v>
                </c:pt>
                <c:pt idx="6">
                  <c:v>144</c:v>
                </c:pt>
                <c:pt idx="7">
                  <c:v>75</c:v>
                </c:pt>
                <c:pt idx="8">
                  <c:v>208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574E-BB5C-B1F302779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487040"/>
        <c:axId val="630473152"/>
      </c:barChart>
      <c:catAx>
        <c:axId val="63048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73152"/>
        <c:crosses val="autoZero"/>
        <c:auto val="1"/>
        <c:lblAlgn val="ctr"/>
        <c:lblOffset val="100"/>
        <c:noMultiLvlLbl val="0"/>
      </c:catAx>
      <c:valAx>
        <c:axId val="6304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Profit/Loss</a:t>
                </a:r>
                <a:r>
                  <a:rPr lang="en-US" baseline="0"/>
                  <a:t> (£)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8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Profit/Loss by</a:t>
            </a:r>
            <a:r>
              <a:rPr lang="en-US" baseline="0"/>
              <a:t>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Analysis!$C$5</c:f>
              <c:strCache>
                <c:ptCount val="1"/>
                <c:pt idx="0">
                  <c:v>Profit/Loss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Analysis!$B$6:$B$15</c:f>
              <c:strCache>
                <c:ptCount val="10"/>
                <c:pt idx="0">
                  <c:v>Apple</c:v>
                </c:pt>
                <c:pt idx="1">
                  <c:v>Microsoft</c:v>
                </c:pt>
                <c:pt idx="2">
                  <c:v>NVIDIA</c:v>
                </c:pt>
                <c:pt idx="3">
                  <c:v>JPMorgan Chase</c:v>
                </c:pt>
                <c:pt idx="4">
                  <c:v>Visa</c:v>
                </c:pt>
                <c:pt idx="5">
                  <c:v>Shell</c:v>
                </c:pt>
                <c:pt idx="6">
                  <c:v>Coca-Cola</c:v>
                </c:pt>
                <c:pt idx="7">
                  <c:v>Unilever</c:v>
                </c:pt>
                <c:pt idx="8">
                  <c:v>AstraZeneca</c:v>
                </c:pt>
                <c:pt idx="9">
                  <c:v>Amazon</c:v>
                </c:pt>
              </c:strCache>
            </c:strRef>
          </c:cat>
          <c:val>
            <c:numRef>
              <c:f>Analysis!$C$6:$C$15</c:f>
              <c:numCache>
                <c:formatCode>General</c:formatCode>
                <c:ptCount val="10"/>
                <c:pt idx="0">
                  <c:v>250</c:v>
                </c:pt>
                <c:pt idx="1">
                  <c:v>320</c:v>
                </c:pt>
                <c:pt idx="2">
                  <c:v>420</c:v>
                </c:pt>
                <c:pt idx="3">
                  <c:v>225</c:v>
                </c:pt>
                <c:pt idx="4">
                  <c:v>490</c:v>
                </c:pt>
                <c:pt idx="5">
                  <c:v>60</c:v>
                </c:pt>
                <c:pt idx="6">
                  <c:v>144</c:v>
                </c:pt>
                <c:pt idx="7">
                  <c:v>75</c:v>
                </c:pt>
                <c:pt idx="8">
                  <c:v>208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0-204F-97EB-2404E48F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487040"/>
        <c:axId val="630473152"/>
      </c:barChart>
      <c:catAx>
        <c:axId val="63048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73152"/>
        <c:crosses val="autoZero"/>
        <c:auto val="1"/>
        <c:lblAlgn val="ctr"/>
        <c:lblOffset val="100"/>
        <c:noMultiLvlLbl val="0"/>
      </c:catAx>
      <c:valAx>
        <c:axId val="6304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Profit/Loss</a:t>
                </a:r>
                <a:r>
                  <a:rPr lang="en-US" baseline="0"/>
                  <a:t> (£)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8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Analysis!$C$22</c:f>
              <c:strCache>
                <c:ptCount val="1"/>
                <c:pt idx="0">
                  <c:v>Total Market Value (£)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5A-A542-8713-C2A45C557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5A-A542-8713-C2A45C557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5A-A542-8713-C2A45C5575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5A-A542-8713-C2A45C5575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5A-A542-8713-C2A45C5575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5A-A542-8713-C2A45C5575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5A-A542-8713-C2A45C5575B2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5A-A542-8713-C2A45C5575B2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5A-A542-8713-C2A45C5575B2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5A-A542-8713-C2A45C5575B2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5A-A542-8713-C2A45C5575B2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5A-A542-8713-C2A45C5575B2}"/>
                </c:ext>
              </c:extLst>
            </c:dLbl>
            <c:dLbl>
              <c:idx val="5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5A-A542-8713-C2A45C5575B2}"/>
                </c:ext>
              </c:extLst>
            </c:dLbl>
            <c:dLbl>
              <c:idx val="6"/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5A-A542-8713-C2A45C557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Analysis!$B$23:$B$29</c:f>
              <c:strCache>
                <c:ptCount val="7"/>
                <c:pt idx="0">
                  <c:v>Technology</c:v>
                </c:pt>
                <c:pt idx="1">
                  <c:v>Financials</c:v>
                </c:pt>
                <c:pt idx="2">
                  <c:v>Energy</c:v>
                </c:pt>
                <c:pt idx="3">
                  <c:v>Consumer Staples</c:v>
                </c:pt>
                <c:pt idx="4">
                  <c:v>Consumer Goods</c:v>
                </c:pt>
                <c:pt idx="5">
                  <c:v>Healthcare</c:v>
                </c:pt>
                <c:pt idx="6">
                  <c:v>Consumer Discretionary</c:v>
                </c:pt>
              </c:strCache>
            </c:strRef>
          </c:cat>
          <c:val>
            <c:numRef>
              <c:f>Analysis!$C$23:$C$29</c:f>
              <c:numCache>
                <c:formatCode>General</c:formatCode>
                <c:ptCount val="7"/>
                <c:pt idx="0">
                  <c:v>7050</c:v>
                </c:pt>
                <c:pt idx="1">
                  <c:v>6765</c:v>
                </c:pt>
                <c:pt idx="2">
                  <c:v>620</c:v>
                </c:pt>
                <c:pt idx="3">
                  <c:v>1224</c:v>
                </c:pt>
                <c:pt idx="4">
                  <c:v>1075</c:v>
                </c:pt>
                <c:pt idx="5">
                  <c:v>1888</c:v>
                </c:pt>
                <c:pt idx="6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A-A542-8713-C2A45C5575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306710505562966E-3"/>
          <c:y val="0.71158169058654896"/>
          <c:w val="0.99596932894944368"/>
          <c:h val="0.2600495150872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Portfolio Value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Analysis!$C$39</c:f>
              <c:strCache>
                <c:ptCount val="1"/>
                <c:pt idx="0">
                  <c:v>Current Value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Analysis!$B$40:$B$49</c:f>
              <c:strCache>
                <c:ptCount val="10"/>
                <c:pt idx="0">
                  <c:v>Apple</c:v>
                </c:pt>
                <c:pt idx="1">
                  <c:v>Microsoft</c:v>
                </c:pt>
                <c:pt idx="2">
                  <c:v>NVIDIA</c:v>
                </c:pt>
                <c:pt idx="3">
                  <c:v>JPMorgan Chase</c:v>
                </c:pt>
                <c:pt idx="4">
                  <c:v>Visa</c:v>
                </c:pt>
                <c:pt idx="5">
                  <c:v>Shell</c:v>
                </c:pt>
                <c:pt idx="6">
                  <c:v>Coca-Cola</c:v>
                </c:pt>
                <c:pt idx="7">
                  <c:v>Unilever</c:v>
                </c:pt>
                <c:pt idx="8">
                  <c:v>AstraZeneca</c:v>
                </c:pt>
                <c:pt idx="9">
                  <c:v>Amazon</c:v>
                </c:pt>
              </c:strCache>
            </c:strRef>
          </c:cat>
          <c:val>
            <c:numRef>
              <c:f>Analysis!$C$40:$C$49</c:f>
              <c:numCache>
                <c:formatCode>General</c:formatCode>
                <c:ptCount val="10"/>
                <c:pt idx="0">
                  <c:v>1950</c:v>
                </c:pt>
                <c:pt idx="1">
                  <c:v>3360</c:v>
                </c:pt>
                <c:pt idx="2">
                  <c:v>1740</c:v>
                </c:pt>
                <c:pt idx="3">
                  <c:v>2775</c:v>
                </c:pt>
                <c:pt idx="4">
                  <c:v>3990</c:v>
                </c:pt>
                <c:pt idx="5">
                  <c:v>620</c:v>
                </c:pt>
                <c:pt idx="6">
                  <c:v>1224</c:v>
                </c:pt>
                <c:pt idx="7">
                  <c:v>1075</c:v>
                </c:pt>
                <c:pt idx="8">
                  <c:v>1888</c:v>
                </c:pt>
                <c:pt idx="9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DC4D-A195-A77BC2FF0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185792"/>
        <c:axId val="635943808"/>
      </c:barChart>
      <c:catAx>
        <c:axId val="63418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43808"/>
        <c:crosses val="autoZero"/>
        <c:auto val="1"/>
        <c:lblAlgn val="ctr"/>
        <c:lblOffset val="100"/>
        <c:noMultiLvlLbl val="0"/>
      </c:catAx>
      <c:valAx>
        <c:axId val="635943808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Value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17</xdr:row>
      <xdr:rowOff>190500</xdr:rowOff>
    </xdr:from>
    <xdr:to>
      <xdr:col>5</xdr:col>
      <xdr:colOff>577850</xdr:colOff>
      <xdr:row>32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EEBFE-BD5D-CF47-8ACD-A73E7C127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819150</xdr:colOff>
      <xdr:row>32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5760C-31D5-E541-AE2F-537438624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3</xdr:row>
      <xdr:rowOff>19050</xdr:rowOff>
    </xdr:from>
    <xdr:to>
      <xdr:col>11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0090C-F606-2105-51CB-732937EA4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20</xdr:row>
      <xdr:rowOff>19050</xdr:rowOff>
    </xdr:from>
    <xdr:to>
      <xdr:col>11</xdr:col>
      <xdr:colOff>12700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B569D-603B-D334-AEC1-DD65BF09E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819150</xdr:colOff>
      <xdr:row>37</xdr:row>
      <xdr:rowOff>6350</xdr:rowOff>
    </xdr:from>
    <xdr:to>
      <xdr:col>11</xdr:col>
      <xdr:colOff>12700</xdr:colOff>
      <xdr:row>50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958A6C-8FAC-DB99-7893-4B0F4BF53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C3D4-AD68-DF4D-A727-D5EC6E6E9880}">
  <dimension ref="A1:G15"/>
  <sheetViews>
    <sheetView showGridLines="0" tabSelected="1" workbookViewId="0">
      <selection activeCell="AF100" sqref="AF100"/>
    </sheetView>
  </sheetViews>
  <sheetFormatPr baseColWidth="10" defaultRowHeight="16" x14ac:dyDescent="0.2"/>
  <cols>
    <col min="2" max="2" width="20" bestFit="1" customWidth="1"/>
    <col min="5" max="5" width="15.83203125" bestFit="1" customWidth="1"/>
  </cols>
  <sheetData>
    <row r="1" spans="1:7" ht="24" x14ac:dyDescent="0.3">
      <c r="A1" s="3" t="s">
        <v>0</v>
      </c>
      <c r="B1" s="3"/>
      <c r="C1" s="3"/>
      <c r="D1" s="3"/>
      <c r="E1" s="3"/>
      <c r="F1" s="3"/>
      <c r="G1" s="2"/>
    </row>
    <row r="3" spans="1:7" ht="17" thickBot="1" x14ac:dyDescent="0.25"/>
    <row r="4" spans="1:7" x14ac:dyDescent="0.2">
      <c r="B4" s="17" t="s">
        <v>1</v>
      </c>
      <c r="C4" s="5"/>
      <c r="E4" s="17" t="s">
        <v>11</v>
      </c>
      <c r="F4" s="5"/>
    </row>
    <row r="5" spans="1:7" x14ac:dyDescent="0.2">
      <c r="B5" s="18" t="s">
        <v>2</v>
      </c>
      <c r="C5" s="7">
        <f>'Portfolio Data'!G15</f>
        <v>17480</v>
      </c>
      <c r="E5" s="18" t="s">
        <v>12</v>
      </c>
      <c r="F5" s="14" t="s">
        <v>31</v>
      </c>
    </row>
    <row r="6" spans="1:7" ht="17" thickBot="1" x14ac:dyDescent="0.25">
      <c r="B6" s="19" t="s">
        <v>3</v>
      </c>
      <c r="C6" s="9">
        <v>6800</v>
      </c>
      <c r="E6" s="18" t="s">
        <v>13</v>
      </c>
      <c r="F6" s="14" t="s">
        <v>27</v>
      </c>
    </row>
    <row r="7" spans="1:7" x14ac:dyDescent="0.2">
      <c r="E7" s="18" t="s">
        <v>14</v>
      </c>
      <c r="F7" s="15">
        <f>AVERAGE('Portfolio Data'!J4:J13)</f>
        <v>0.1438024808009328</v>
      </c>
    </row>
    <row r="8" spans="1:7" ht="17" thickBot="1" x14ac:dyDescent="0.25">
      <c r="E8" s="19" t="s">
        <v>15</v>
      </c>
      <c r="F8" s="16">
        <v>7</v>
      </c>
    </row>
    <row r="9" spans="1:7" x14ac:dyDescent="0.2">
      <c r="B9" s="17" t="s">
        <v>4</v>
      </c>
      <c r="C9" s="5"/>
    </row>
    <row r="10" spans="1:7" x14ac:dyDescent="0.2">
      <c r="B10" s="18" t="s">
        <v>5</v>
      </c>
      <c r="C10" s="10">
        <f>'Portfolio Data'!H15</f>
        <v>19882</v>
      </c>
    </row>
    <row r="11" spans="1:7" x14ac:dyDescent="0.2">
      <c r="B11" s="18" t="s">
        <v>6</v>
      </c>
      <c r="C11" s="10">
        <f>'Portfolio Data'!I15</f>
        <v>2402</v>
      </c>
      <c r="E11" s="35" t="s">
        <v>52</v>
      </c>
    </row>
    <row r="12" spans="1:7" x14ac:dyDescent="0.2">
      <c r="B12" s="18" t="s">
        <v>7</v>
      </c>
      <c r="C12" s="13">
        <f>C11/('Portfolio Data'!G15)</f>
        <v>0.1374141876430206</v>
      </c>
      <c r="E12" s="24" t="s">
        <v>54</v>
      </c>
      <c r="F12" s="24"/>
    </row>
    <row r="13" spans="1:7" x14ac:dyDescent="0.2">
      <c r="B13" s="18" t="s">
        <v>8</v>
      </c>
      <c r="C13" s="10" t="s">
        <v>29</v>
      </c>
      <c r="E13" s="24" t="s">
        <v>53</v>
      </c>
      <c r="F13" s="24"/>
    </row>
    <row r="14" spans="1:7" x14ac:dyDescent="0.2">
      <c r="B14" s="18" t="s">
        <v>9</v>
      </c>
      <c r="C14" s="10" t="s">
        <v>34</v>
      </c>
      <c r="E14" s="24" t="s">
        <v>55</v>
      </c>
      <c r="F14" s="24"/>
    </row>
    <row r="15" spans="1:7" ht="17" thickBot="1" x14ac:dyDescent="0.25">
      <c r="B15" s="19" t="s">
        <v>10</v>
      </c>
      <c r="C15" s="11">
        <f>COUNTA('Portfolio Data'!B4:B13)</f>
        <v>10</v>
      </c>
    </row>
  </sheetData>
  <mergeCells count="4">
    <mergeCell ref="A1:F1"/>
    <mergeCell ref="E12:F12"/>
    <mergeCell ref="E13:F13"/>
    <mergeCell ref="E14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F4AC-0277-5046-835A-2ED231C72342}">
  <dimension ref="A1:K15"/>
  <sheetViews>
    <sheetView showGridLines="0" workbookViewId="0">
      <selection activeCell="AL59" sqref="AL59"/>
    </sheetView>
  </sheetViews>
  <sheetFormatPr baseColWidth="10" defaultRowHeight="16" x14ac:dyDescent="0.2"/>
  <cols>
    <col min="2" max="2" width="14.33203125" bestFit="1" customWidth="1"/>
    <col min="3" max="3" width="21.5" bestFit="1" customWidth="1"/>
    <col min="4" max="4" width="12.6640625" bestFit="1" customWidth="1"/>
    <col min="5" max="5" width="15.6640625" bestFit="1" customWidth="1"/>
    <col min="6" max="6" width="14.33203125" bestFit="1" customWidth="1"/>
    <col min="7" max="7" width="11.83203125" bestFit="1" customWidth="1"/>
    <col min="8" max="8" width="14.83203125" bestFit="1" customWidth="1"/>
    <col min="9" max="9" width="12.33203125" bestFit="1" customWidth="1"/>
  </cols>
  <sheetData>
    <row r="1" spans="1:11" ht="24" x14ac:dyDescent="0.3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7" thickBot="1" x14ac:dyDescent="0.25"/>
    <row r="3" spans="1:11" x14ac:dyDescent="0.2">
      <c r="B3" s="17" t="s">
        <v>17</v>
      </c>
      <c r="C3" s="25" t="s">
        <v>18</v>
      </c>
      <c r="D3" s="25" t="s">
        <v>19</v>
      </c>
      <c r="E3" s="25" t="s">
        <v>20</v>
      </c>
      <c r="F3" s="25" t="s">
        <v>21</v>
      </c>
      <c r="G3" s="25" t="s">
        <v>22</v>
      </c>
      <c r="H3" s="25" t="s">
        <v>23</v>
      </c>
      <c r="I3" s="25" t="s">
        <v>24</v>
      </c>
      <c r="J3" s="26" t="s">
        <v>25</v>
      </c>
    </row>
    <row r="4" spans="1:11" x14ac:dyDescent="0.2">
      <c r="B4" s="6" t="s">
        <v>26</v>
      </c>
      <c r="C4" s="4" t="s">
        <v>27</v>
      </c>
      <c r="D4" s="4">
        <v>10</v>
      </c>
      <c r="E4" s="27">
        <v>170</v>
      </c>
      <c r="F4" s="27">
        <v>195</v>
      </c>
      <c r="G4" s="27">
        <f>D4*E4</f>
        <v>1700</v>
      </c>
      <c r="H4" s="27">
        <f>D4*F4</f>
        <v>1950</v>
      </c>
      <c r="I4" s="27">
        <f>H4-G4</f>
        <v>250</v>
      </c>
      <c r="J4" s="15">
        <f>I4/G4</f>
        <v>0.14705882352941177</v>
      </c>
    </row>
    <row r="5" spans="1:11" x14ac:dyDescent="0.2">
      <c r="B5" s="6" t="s">
        <v>28</v>
      </c>
      <c r="C5" s="4" t="s">
        <v>27</v>
      </c>
      <c r="D5" s="4">
        <v>8</v>
      </c>
      <c r="E5" s="27">
        <v>380</v>
      </c>
      <c r="F5" s="27">
        <v>420</v>
      </c>
      <c r="G5" s="27">
        <f t="shared" ref="G5:G13" si="0">D5*E5</f>
        <v>3040</v>
      </c>
      <c r="H5" s="27">
        <f t="shared" ref="H5:H13" si="1">D5*F5</f>
        <v>3360</v>
      </c>
      <c r="I5" s="27">
        <f t="shared" ref="I5:I13" si="2">H5-G5</f>
        <v>320</v>
      </c>
      <c r="J5" s="15">
        <f t="shared" ref="J5:J13" si="3">I5/G5</f>
        <v>0.10526315789473684</v>
      </c>
    </row>
    <row r="6" spans="1:11" x14ac:dyDescent="0.2">
      <c r="B6" s="6" t="s">
        <v>29</v>
      </c>
      <c r="C6" s="4" t="s">
        <v>27</v>
      </c>
      <c r="D6" s="4">
        <v>12</v>
      </c>
      <c r="E6" s="27">
        <v>110</v>
      </c>
      <c r="F6" s="27">
        <v>145</v>
      </c>
      <c r="G6" s="27">
        <f t="shared" si="0"/>
        <v>1320</v>
      </c>
      <c r="H6" s="27">
        <f t="shared" si="1"/>
        <v>1740</v>
      </c>
      <c r="I6" s="27">
        <f t="shared" si="2"/>
        <v>420</v>
      </c>
      <c r="J6" s="15">
        <f t="shared" si="3"/>
        <v>0.31818181818181818</v>
      </c>
    </row>
    <row r="7" spans="1:11" x14ac:dyDescent="0.2">
      <c r="B7" s="6" t="s">
        <v>30</v>
      </c>
      <c r="C7" s="4" t="s">
        <v>37</v>
      </c>
      <c r="D7" s="4">
        <v>15</v>
      </c>
      <c r="E7" s="27">
        <v>170</v>
      </c>
      <c r="F7" s="27">
        <v>185</v>
      </c>
      <c r="G7" s="27">
        <f t="shared" si="0"/>
        <v>2550</v>
      </c>
      <c r="H7" s="27">
        <f t="shared" si="1"/>
        <v>2775</v>
      </c>
      <c r="I7" s="27">
        <f t="shared" si="2"/>
        <v>225</v>
      </c>
      <c r="J7" s="15">
        <f t="shared" si="3"/>
        <v>8.8235294117647065E-2</v>
      </c>
    </row>
    <row r="8" spans="1:11" x14ac:dyDescent="0.2">
      <c r="B8" s="6" t="s">
        <v>31</v>
      </c>
      <c r="C8" s="4" t="s">
        <v>37</v>
      </c>
      <c r="D8" s="4">
        <v>14</v>
      </c>
      <c r="E8" s="27">
        <v>250</v>
      </c>
      <c r="F8" s="27">
        <v>285</v>
      </c>
      <c r="G8" s="27">
        <f t="shared" si="0"/>
        <v>3500</v>
      </c>
      <c r="H8" s="27">
        <f t="shared" si="1"/>
        <v>3990</v>
      </c>
      <c r="I8" s="27">
        <f t="shared" si="2"/>
        <v>490</v>
      </c>
      <c r="J8" s="15">
        <f t="shared" si="3"/>
        <v>0.14000000000000001</v>
      </c>
    </row>
    <row r="9" spans="1:11" x14ac:dyDescent="0.2">
      <c r="B9" s="6" t="s">
        <v>32</v>
      </c>
      <c r="C9" s="4" t="s">
        <v>38</v>
      </c>
      <c r="D9" s="4">
        <v>20</v>
      </c>
      <c r="E9" s="27">
        <v>28</v>
      </c>
      <c r="F9" s="27">
        <v>31</v>
      </c>
      <c r="G9" s="27">
        <f t="shared" si="0"/>
        <v>560</v>
      </c>
      <c r="H9" s="27">
        <f t="shared" si="1"/>
        <v>620</v>
      </c>
      <c r="I9" s="27">
        <f t="shared" si="2"/>
        <v>60</v>
      </c>
      <c r="J9" s="15">
        <f t="shared" si="3"/>
        <v>0.10714285714285714</v>
      </c>
    </row>
    <row r="10" spans="1:11" x14ac:dyDescent="0.2">
      <c r="B10" s="6" t="s">
        <v>33</v>
      </c>
      <c r="C10" s="4" t="s">
        <v>39</v>
      </c>
      <c r="D10" s="4">
        <v>18</v>
      </c>
      <c r="E10" s="27">
        <v>60</v>
      </c>
      <c r="F10" s="27">
        <v>68</v>
      </c>
      <c r="G10" s="27">
        <f t="shared" si="0"/>
        <v>1080</v>
      </c>
      <c r="H10" s="27">
        <f t="shared" si="1"/>
        <v>1224</v>
      </c>
      <c r="I10" s="27">
        <f t="shared" si="2"/>
        <v>144</v>
      </c>
      <c r="J10" s="15">
        <f t="shared" si="3"/>
        <v>0.13333333333333333</v>
      </c>
    </row>
    <row r="11" spans="1:11" x14ac:dyDescent="0.2">
      <c r="B11" s="6" t="s">
        <v>34</v>
      </c>
      <c r="C11" s="4" t="s">
        <v>40</v>
      </c>
      <c r="D11" s="4">
        <v>25</v>
      </c>
      <c r="E11" s="27">
        <v>40</v>
      </c>
      <c r="F11" s="27">
        <v>43</v>
      </c>
      <c r="G11" s="27">
        <f t="shared" si="0"/>
        <v>1000</v>
      </c>
      <c r="H11" s="27">
        <f t="shared" si="1"/>
        <v>1075</v>
      </c>
      <c r="I11" s="27">
        <f t="shared" si="2"/>
        <v>75</v>
      </c>
      <c r="J11" s="15">
        <f t="shared" si="3"/>
        <v>7.4999999999999997E-2</v>
      </c>
    </row>
    <row r="12" spans="1:11" x14ac:dyDescent="0.2">
      <c r="B12" s="6" t="s">
        <v>35</v>
      </c>
      <c r="C12" s="4" t="s">
        <v>41</v>
      </c>
      <c r="D12" s="4">
        <v>16</v>
      </c>
      <c r="E12" s="27">
        <v>105</v>
      </c>
      <c r="F12" s="27">
        <v>118</v>
      </c>
      <c r="G12" s="27">
        <f t="shared" si="0"/>
        <v>1680</v>
      </c>
      <c r="H12" s="27">
        <f t="shared" si="1"/>
        <v>1888</v>
      </c>
      <c r="I12" s="27">
        <f t="shared" si="2"/>
        <v>208</v>
      </c>
      <c r="J12" s="15">
        <f t="shared" si="3"/>
        <v>0.12380952380952381</v>
      </c>
    </row>
    <row r="13" spans="1:11" x14ac:dyDescent="0.2">
      <c r="B13" s="6" t="s">
        <v>36</v>
      </c>
      <c r="C13" s="4" t="s">
        <v>42</v>
      </c>
      <c r="D13" s="4">
        <v>6</v>
      </c>
      <c r="E13" s="27">
        <v>175</v>
      </c>
      <c r="F13" s="27">
        <v>210</v>
      </c>
      <c r="G13" s="27">
        <f t="shared" si="0"/>
        <v>1050</v>
      </c>
      <c r="H13" s="27">
        <f t="shared" si="1"/>
        <v>1260</v>
      </c>
      <c r="I13" s="27">
        <f t="shared" si="2"/>
        <v>210</v>
      </c>
      <c r="J13" s="15">
        <f t="shared" si="3"/>
        <v>0.2</v>
      </c>
    </row>
    <row r="14" spans="1:11" ht="17" thickBot="1" x14ac:dyDescent="0.25">
      <c r="B14" s="28"/>
      <c r="C14" s="29"/>
      <c r="D14" s="29"/>
      <c r="E14" s="29"/>
      <c r="F14" s="29"/>
      <c r="G14" s="29"/>
      <c r="H14" s="29"/>
      <c r="I14" s="29"/>
      <c r="J14" s="30"/>
    </row>
    <row r="15" spans="1:11" ht="17" thickBot="1" x14ac:dyDescent="0.25">
      <c r="B15" s="31" t="s">
        <v>43</v>
      </c>
      <c r="C15" s="32"/>
      <c r="D15" s="32"/>
      <c r="E15" s="32"/>
      <c r="F15" s="32"/>
      <c r="G15" s="33">
        <f>SUM(G4:G13)</f>
        <v>17480</v>
      </c>
      <c r="H15" s="33">
        <f t="shared" ref="H15:I15" si="4">SUM(H4:H13)</f>
        <v>19882</v>
      </c>
      <c r="I15" s="33">
        <f t="shared" si="4"/>
        <v>2402</v>
      </c>
      <c r="J15" s="34"/>
    </row>
  </sheetData>
  <mergeCells count="1">
    <mergeCell ref="A1:K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125E-DB16-7F44-A8D4-04D8264493A2}">
  <dimension ref="A1:F59"/>
  <sheetViews>
    <sheetView showGridLines="0" zoomScaleNormal="100" workbookViewId="0">
      <selection activeCell="AV130" sqref="AV130"/>
    </sheetView>
  </sheetViews>
  <sheetFormatPr baseColWidth="10" defaultRowHeight="16" x14ac:dyDescent="0.2"/>
  <cols>
    <col min="2" max="2" width="21" bestFit="1" customWidth="1"/>
    <col min="3" max="3" width="18.6640625" bestFit="1" customWidth="1"/>
  </cols>
  <sheetData>
    <row r="1" spans="1:6" ht="24" x14ac:dyDescent="0.3">
      <c r="A1" s="12" t="s">
        <v>44</v>
      </c>
      <c r="B1" s="1"/>
      <c r="C1" s="1"/>
      <c r="D1" s="1"/>
      <c r="E1" s="1"/>
      <c r="F1" s="1"/>
    </row>
    <row r="3" spans="1:6" ht="19" x14ac:dyDescent="0.25">
      <c r="B3" s="20" t="s">
        <v>56</v>
      </c>
      <c r="C3" s="20"/>
      <c r="D3" s="20"/>
      <c r="E3" s="20"/>
    </row>
    <row r="4" spans="1:6" ht="17" thickBot="1" x14ac:dyDescent="0.25"/>
    <row r="5" spans="1:6" x14ac:dyDescent="0.2">
      <c r="B5" s="21" t="s">
        <v>17</v>
      </c>
      <c r="C5" s="22" t="s">
        <v>24</v>
      </c>
    </row>
    <row r="6" spans="1:6" x14ac:dyDescent="0.2">
      <c r="B6" s="6" t="s">
        <v>26</v>
      </c>
      <c r="C6" s="14">
        <v>250</v>
      </c>
    </row>
    <row r="7" spans="1:6" x14ac:dyDescent="0.2">
      <c r="B7" s="6" t="s">
        <v>28</v>
      </c>
      <c r="C7" s="14">
        <v>320</v>
      </c>
    </row>
    <row r="8" spans="1:6" x14ac:dyDescent="0.2">
      <c r="B8" s="6" t="s">
        <v>29</v>
      </c>
      <c r="C8" s="14">
        <v>420</v>
      </c>
    </row>
    <row r="9" spans="1:6" x14ac:dyDescent="0.2">
      <c r="B9" s="6" t="s">
        <v>30</v>
      </c>
      <c r="C9" s="14">
        <v>225</v>
      </c>
    </row>
    <row r="10" spans="1:6" x14ac:dyDescent="0.2">
      <c r="B10" s="6" t="s">
        <v>31</v>
      </c>
      <c r="C10" s="14">
        <v>490</v>
      </c>
    </row>
    <row r="11" spans="1:6" x14ac:dyDescent="0.2">
      <c r="B11" s="6" t="s">
        <v>32</v>
      </c>
      <c r="C11" s="14">
        <v>60</v>
      </c>
    </row>
    <row r="12" spans="1:6" x14ac:dyDescent="0.2">
      <c r="B12" s="6" t="s">
        <v>33</v>
      </c>
      <c r="C12" s="14">
        <v>144</v>
      </c>
    </row>
    <row r="13" spans="1:6" x14ac:dyDescent="0.2">
      <c r="B13" s="6" t="s">
        <v>34</v>
      </c>
      <c r="C13" s="14">
        <v>75</v>
      </c>
    </row>
    <row r="14" spans="1:6" x14ac:dyDescent="0.2">
      <c r="B14" s="6" t="s">
        <v>35</v>
      </c>
      <c r="C14" s="14">
        <v>208</v>
      </c>
    </row>
    <row r="15" spans="1:6" ht="17" thickBot="1" x14ac:dyDescent="0.25">
      <c r="B15" s="8" t="s">
        <v>36</v>
      </c>
      <c r="C15" s="16">
        <v>210</v>
      </c>
    </row>
    <row r="20" spans="2:5" ht="19" x14ac:dyDescent="0.25">
      <c r="B20" s="20" t="s">
        <v>57</v>
      </c>
      <c r="C20" s="20"/>
      <c r="D20" s="20"/>
      <c r="E20" s="20"/>
    </row>
    <row r="21" spans="2:5" ht="17" thickBot="1" x14ac:dyDescent="0.25"/>
    <row r="22" spans="2:5" x14ac:dyDescent="0.2">
      <c r="B22" s="21" t="s">
        <v>18</v>
      </c>
      <c r="C22" s="22" t="s">
        <v>45</v>
      </c>
    </row>
    <row r="23" spans="2:5" x14ac:dyDescent="0.2">
      <c r="B23" s="6" t="s">
        <v>27</v>
      </c>
      <c r="C23" s="14">
        <f>'Portfolio Data'!H4+'Portfolio Data'!H5+'Portfolio Data'!H6</f>
        <v>7050</v>
      </c>
    </row>
    <row r="24" spans="2:5" x14ac:dyDescent="0.2">
      <c r="B24" s="6" t="s">
        <v>37</v>
      </c>
      <c r="C24" s="14">
        <f>'Portfolio Data'!H7+'Portfolio Data'!H8</f>
        <v>6765</v>
      </c>
    </row>
    <row r="25" spans="2:5" x14ac:dyDescent="0.2">
      <c r="B25" s="6" t="s">
        <v>38</v>
      </c>
      <c r="C25" s="14">
        <f>'Portfolio Data'!H9</f>
        <v>620</v>
      </c>
    </row>
    <row r="26" spans="2:5" x14ac:dyDescent="0.2">
      <c r="B26" s="6" t="s">
        <v>39</v>
      </c>
      <c r="C26" s="14">
        <f>'Portfolio Data'!H10</f>
        <v>1224</v>
      </c>
    </row>
    <row r="27" spans="2:5" x14ac:dyDescent="0.2">
      <c r="B27" s="6" t="s">
        <v>40</v>
      </c>
      <c r="C27" s="14">
        <f>'Portfolio Data'!H11</f>
        <v>1075</v>
      </c>
    </row>
    <row r="28" spans="2:5" x14ac:dyDescent="0.2">
      <c r="B28" s="6" t="s">
        <v>41</v>
      </c>
      <c r="C28" s="14">
        <f>'Portfolio Data'!H12</f>
        <v>1888</v>
      </c>
    </row>
    <row r="29" spans="2:5" ht="17" thickBot="1" x14ac:dyDescent="0.25">
      <c r="B29" s="8" t="s">
        <v>46</v>
      </c>
      <c r="C29" s="16">
        <f>'Portfolio Data'!H13</f>
        <v>1260</v>
      </c>
    </row>
    <row r="37" spans="2:5" ht="19" x14ac:dyDescent="0.25">
      <c r="B37" s="20" t="s">
        <v>58</v>
      </c>
      <c r="C37" s="20"/>
      <c r="D37" s="20"/>
      <c r="E37" s="20"/>
    </row>
    <row r="38" spans="2:5" ht="17" thickBot="1" x14ac:dyDescent="0.25"/>
    <row r="39" spans="2:5" x14ac:dyDescent="0.2">
      <c r="B39" s="21" t="s">
        <v>17</v>
      </c>
      <c r="C39" s="22" t="s">
        <v>23</v>
      </c>
    </row>
    <row r="40" spans="2:5" x14ac:dyDescent="0.2">
      <c r="B40" s="6" t="s">
        <v>26</v>
      </c>
      <c r="C40" s="14">
        <f>'Portfolio Data'!H4</f>
        <v>1950</v>
      </c>
    </row>
    <row r="41" spans="2:5" x14ac:dyDescent="0.2">
      <c r="B41" s="6" t="s">
        <v>28</v>
      </c>
      <c r="C41" s="14">
        <f>'Portfolio Data'!H5</f>
        <v>3360</v>
      </c>
    </row>
    <row r="42" spans="2:5" x14ac:dyDescent="0.2">
      <c r="B42" s="6" t="s">
        <v>29</v>
      </c>
      <c r="C42" s="14">
        <f>'Portfolio Data'!H6</f>
        <v>1740</v>
      </c>
    </row>
    <row r="43" spans="2:5" x14ac:dyDescent="0.2">
      <c r="B43" s="6" t="s">
        <v>30</v>
      </c>
      <c r="C43" s="14">
        <f>'Portfolio Data'!H7</f>
        <v>2775</v>
      </c>
    </row>
    <row r="44" spans="2:5" x14ac:dyDescent="0.2">
      <c r="B44" s="6" t="s">
        <v>31</v>
      </c>
      <c r="C44" s="14">
        <f>'Portfolio Data'!H8</f>
        <v>3990</v>
      </c>
    </row>
    <row r="45" spans="2:5" x14ac:dyDescent="0.2">
      <c r="B45" s="6" t="s">
        <v>32</v>
      </c>
      <c r="C45" s="14">
        <f>'Portfolio Data'!H9</f>
        <v>620</v>
      </c>
    </row>
    <row r="46" spans="2:5" x14ac:dyDescent="0.2">
      <c r="B46" s="6" t="s">
        <v>33</v>
      </c>
      <c r="C46" s="14">
        <f>'Portfolio Data'!H10</f>
        <v>1224</v>
      </c>
    </row>
    <row r="47" spans="2:5" x14ac:dyDescent="0.2">
      <c r="B47" s="6" t="s">
        <v>34</v>
      </c>
      <c r="C47" s="14">
        <f>'Portfolio Data'!H11</f>
        <v>1075</v>
      </c>
    </row>
    <row r="48" spans="2:5" x14ac:dyDescent="0.2">
      <c r="B48" s="6" t="s">
        <v>35</v>
      </c>
      <c r="C48" s="14">
        <f>'Portfolio Data'!H12</f>
        <v>1888</v>
      </c>
    </row>
    <row r="49" spans="2:6" ht="17" thickBot="1" x14ac:dyDescent="0.25">
      <c r="B49" s="8" t="s">
        <v>36</v>
      </c>
      <c r="C49" s="16">
        <f>'Portfolio Data'!H13</f>
        <v>1260</v>
      </c>
    </row>
    <row r="55" spans="2:6" ht="19" x14ac:dyDescent="0.25">
      <c r="B55" s="23" t="s">
        <v>47</v>
      </c>
    </row>
    <row r="56" spans="2:6" x14ac:dyDescent="0.2">
      <c r="B56" s="24" t="s">
        <v>48</v>
      </c>
      <c r="C56" s="24"/>
      <c r="D56" s="24"/>
      <c r="E56" s="24"/>
      <c r="F56" s="24"/>
    </row>
    <row r="57" spans="2:6" x14ac:dyDescent="0.2">
      <c r="B57" s="24" t="s">
        <v>49</v>
      </c>
      <c r="C57" s="24"/>
      <c r="D57" s="24"/>
      <c r="E57" s="24"/>
      <c r="F57" s="24"/>
    </row>
    <row r="58" spans="2:6" x14ac:dyDescent="0.2">
      <c r="B58" s="24" t="s">
        <v>50</v>
      </c>
      <c r="C58" s="24"/>
      <c r="D58" s="24"/>
      <c r="E58" s="24"/>
      <c r="F58" s="24"/>
    </row>
    <row r="59" spans="2:6" x14ac:dyDescent="0.2">
      <c r="B59" s="24" t="s">
        <v>51</v>
      </c>
      <c r="C59" s="24"/>
      <c r="D59" s="24"/>
      <c r="E59" s="24"/>
      <c r="F59" s="24"/>
    </row>
  </sheetData>
  <mergeCells count="8">
    <mergeCell ref="B58:F58"/>
    <mergeCell ref="B59:F59"/>
    <mergeCell ref="A1:F1"/>
    <mergeCell ref="B3:E3"/>
    <mergeCell ref="B20:E20"/>
    <mergeCell ref="B37:E37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Portfolio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Gromova</dc:creator>
  <cp:lastModifiedBy>Elizaveta Gromova</cp:lastModifiedBy>
  <dcterms:created xsi:type="dcterms:W3CDTF">2026-07-23T22:03:53Z</dcterms:created>
  <dcterms:modified xsi:type="dcterms:W3CDTF">2026-07-24T21:05:01Z</dcterms:modified>
</cp:coreProperties>
</file>